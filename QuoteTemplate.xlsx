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ydullc-my.sharepoint.com/personal/meghana_m_jaydu_com/Documents/Components website/"/>
    </mc:Choice>
  </mc:AlternateContent>
  <xr:revisionPtr revIDLastSave="18" documentId="8_{3213CE9B-C7C5-4783-B8E4-1F7E49A6AE1A}" xr6:coauthVersionLast="47" xr6:coauthVersionMax="47" xr10:uidLastSave="{9B71C0F3-52B3-4C14-BE17-9E0686B32F84}"/>
  <bookViews>
    <workbookView xWindow="-120" yWindow="-120" windowWidth="29040" windowHeight="15840" xr2:uid="{971DB06F-2F0F-46E8-B6EF-8F693C9CE98F}"/>
  </bookViews>
  <sheets>
    <sheet name="Sheet1" sheetId="1" r:id="rId1"/>
  </sheets>
  <definedNames>
    <definedName name="Currency">Sheet1!$E$34</definedName>
    <definedName name="CustomerEmail">Sheet1!$B$11</definedName>
    <definedName name="CustomerName">Sheet1!$B$10</definedName>
    <definedName name="Customerphn">Sheet1!$B$12</definedName>
    <definedName name="Date">Sheet1!$G$4</definedName>
    <definedName name="Dealers">Sheet1!$B$13</definedName>
    <definedName name="Description">Sheet1!$E$10</definedName>
    <definedName name="Footer">Sheet1!$B$43</definedName>
    <definedName name="Item1">Sheet1!$B$18</definedName>
    <definedName name="Item10">Sheet1!$B$27</definedName>
    <definedName name="Item11">Sheet1!$B$28</definedName>
    <definedName name="Item12">Sheet1!$B$29</definedName>
    <definedName name="Item13">Sheet1!$B$30</definedName>
    <definedName name="Item14">Sheet1!#REF!</definedName>
    <definedName name="Item15">Sheet1!#REF!</definedName>
    <definedName name="Item16">Sheet1!#REF!</definedName>
    <definedName name="Item17">Sheet1!#REF!</definedName>
    <definedName name="Item18">Sheet1!#REF!</definedName>
    <definedName name="Item2">Sheet1!$B$19</definedName>
    <definedName name="Item3">Sheet1!$B$20</definedName>
    <definedName name="Item4">Sheet1!$B$21</definedName>
    <definedName name="Item5">Sheet1!$B$22</definedName>
    <definedName name="Item6">Sheet1!$B$23</definedName>
    <definedName name="Item7">Sheet1!$B$24</definedName>
    <definedName name="Item8">Sheet1!$B$25</definedName>
    <definedName name="Item9">Sheet1!$B$26</definedName>
    <definedName name="ItemDesc1">Sheet1!$C$18</definedName>
    <definedName name="ItemDesc10">Sheet1!#REF!</definedName>
    <definedName name="ItemDesc11">Sheet1!#REF!</definedName>
    <definedName name="ItemDesc12">Sheet1!#REF!</definedName>
    <definedName name="ItemDesc13">Sheet1!#REF!</definedName>
    <definedName name="ItemDesc14">Sheet1!#REF!</definedName>
    <definedName name="ItemDesc15">Sheet1!#REF!</definedName>
    <definedName name="ItemDesc16">Sheet1!#REF!</definedName>
    <definedName name="ItemDesc17">Sheet1!#REF!</definedName>
    <definedName name="ItemDesc18">Sheet1!#REF!</definedName>
    <definedName name="ItemDesc19">Sheet1!#REF!</definedName>
    <definedName name="ItemDesc2">Sheet1!$C$19</definedName>
    <definedName name="ItemDesc20">Sheet1!#REF!</definedName>
    <definedName name="ItemDesc21">Sheet1!#REF!</definedName>
    <definedName name="ItemDesc3">Sheet1!$C$20</definedName>
    <definedName name="ItemDesc4">Sheet1!$C$21</definedName>
    <definedName name="ItemDesc5">Sheet1!$C$22</definedName>
    <definedName name="ItemDesc6">Sheet1!$C$23</definedName>
    <definedName name="ItemDesc7">Sheet1!$C$24</definedName>
    <definedName name="ItemDesc8">Sheet1!#REF!</definedName>
    <definedName name="ItemDesc9">Sheet1!#REF!</definedName>
    <definedName name="ItemQTY1">Sheet1!$E$18</definedName>
    <definedName name="ItemQTY10">Sheet1!$E$27</definedName>
    <definedName name="ItemQTY11">Sheet1!$E$28</definedName>
    <definedName name="ItemQTY12">Sheet1!$E$29</definedName>
    <definedName name="ItemQTY13">Sheet1!$E$30</definedName>
    <definedName name="ItemQTY2">Sheet1!$E$19</definedName>
    <definedName name="ItemQTY3">Sheet1!$E$20</definedName>
    <definedName name="ItemQTY4">Sheet1!$E$21</definedName>
    <definedName name="ItemQTY5">Sheet1!$E$22</definedName>
    <definedName name="ItemQTY6">Sheet1!$E$23</definedName>
    <definedName name="ItemQTY7">Sheet1!$E$24</definedName>
    <definedName name="ItemQTY8">Sheet1!$E$25</definedName>
    <definedName name="ItemQTY9">Sheet1!$E$26</definedName>
    <definedName name="Price1">Sheet1!$F$18</definedName>
    <definedName name="Price10">Sheet1!$F$27</definedName>
    <definedName name="Price11">Sheet1!$F$28</definedName>
    <definedName name="Price12">Sheet1!$F$29</definedName>
    <definedName name="Price13">Sheet1!$F$30</definedName>
    <definedName name="Price2">Sheet1!$F$19</definedName>
    <definedName name="Price3">Sheet1!$F$20</definedName>
    <definedName name="Price4">Sheet1!$F$21</definedName>
    <definedName name="Price5">Sheet1!$F$22</definedName>
    <definedName name="Price6">Sheet1!$F$23</definedName>
    <definedName name="Price7">Sheet1!$F$24</definedName>
    <definedName name="Price8">Sheet1!$F$25</definedName>
    <definedName name="Price9">Sheet1!$F$26</definedName>
    <definedName name="QuoteNo">Sheet1!$G$5</definedName>
    <definedName name="Shipping">Sheet1!$G$33</definedName>
    <definedName name="Tax">Sheet1!$G$32</definedName>
    <definedName name="TermsConditions">Sheet1!$B$38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29" i="1"/>
  <c r="G28" i="1"/>
  <c r="G27" i="1"/>
  <c r="G26" i="1"/>
  <c r="G25" i="1"/>
  <c r="G24" i="1"/>
  <c r="G23" i="1"/>
  <c r="G22" i="1"/>
  <c r="G21" i="1"/>
  <c r="G20" i="1"/>
  <c r="G19" i="1"/>
  <c r="G18" i="1"/>
  <c r="G31" i="1" l="1"/>
  <c r="G34" i="1" s="1"/>
</calcChain>
</file>

<file path=xl/sharedStrings.xml><?xml version="1.0" encoding="utf-8"?>
<sst xmlns="http://schemas.openxmlformats.org/spreadsheetml/2006/main" count="16" uniqueCount="16">
  <si>
    <t>Quote</t>
  </si>
  <si>
    <t>Qty</t>
  </si>
  <si>
    <t>Date:</t>
  </si>
  <si>
    <t>Quote No:</t>
  </si>
  <si>
    <t>Quote/Project Description</t>
  </si>
  <si>
    <t>Total</t>
  </si>
  <si>
    <t>Unit Price</t>
  </si>
  <si>
    <t>Item Description</t>
  </si>
  <si>
    <t>Sub Total</t>
  </si>
  <si>
    <t>Tax %</t>
  </si>
  <si>
    <t>Shipping &amp; Handling</t>
  </si>
  <si>
    <t>Total:</t>
  </si>
  <si>
    <t>Terms &amp; Conditions:</t>
  </si>
  <si>
    <t xml:space="preserve">Footer </t>
  </si>
  <si>
    <t>Contact Person Details</t>
  </si>
  <si>
    <t xml:space="preserve">4215 Edison Lakes Pkwy, Suite 330, 
Mishawaka, IN 46545
Phone: +1 (574) 213-5504
Fax: 800-268-1754
Email: contactus@jaydu.com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</si>
</sst>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Arial"/>
      <family val="2"/>
    </font>
    <font>
      <b/>
      <sz val="11"/>
      <color rgb="FFD84547"/>
      <name val="Calibri"/>
      <family val="2"/>
      <scheme val="minor"/>
    </font>
    <font>
      <b/>
      <sz val="11"/>
      <color rgb="FF2E4B5D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454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rgb="FF2E4B5D"/>
      </bottom>
      <diagonal/>
    </border>
    <border>
      <left/>
      <right style="thin">
        <color rgb="FF2E4B5D"/>
      </right>
      <top/>
      <bottom/>
      <diagonal/>
    </border>
    <border>
      <left style="thin">
        <color rgb="FF2E4B5D"/>
      </left>
      <right/>
      <top/>
      <bottom/>
      <diagonal/>
    </border>
    <border>
      <left style="thin">
        <color rgb="FF2E4B5D"/>
      </left>
      <right style="thin">
        <color rgb="FF2E4B5D"/>
      </right>
      <top/>
      <bottom/>
      <diagonal/>
    </border>
    <border>
      <left/>
      <right/>
      <top style="double">
        <color rgb="FFD84547"/>
      </top>
      <bottom/>
      <diagonal/>
    </border>
    <border>
      <left/>
      <right/>
      <top/>
      <bottom style="double">
        <color rgb="FFD84547"/>
      </bottom>
      <diagonal/>
    </border>
    <border>
      <left/>
      <right/>
      <top style="thick">
        <color rgb="FF2E4B5D"/>
      </top>
      <bottom/>
      <diagonal/>
    </border>
    <border>
      <left style="thin">
        <color rgb="FF2E4B5D"/>
      </left>
      <right style="thick">
        <color rgb="FF2E4B5D"/>
      </right>
      <top style="thin">
        <color indexed="64"/>
      </top>
      <bottom style="thin">
        <color indexed="64"/>
      </bottom>
      <diagonal/>
    </border>
    <border>
      <left style="thick">
        <color rgb="FF2E4B5D"/>
      </left>
      <right style="thick">
        <color rgb="FF2E4B5D"/>
      </right>
      <top style="thin">
        <color indexed="64"/>
      </top>
      <bottom style="thin">
        <color indexed="64"/>
      </bottom>
      <diagonal/>
    </border>
    <border>
      <left style="thick">
        <color rgb="FF2E4B5D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2E4B5D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2E4B5D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2E4B5D"/>
      </left>
      <right style="thin">
        <color indexed="64"/>
      </right>
      <top/>
      <bottom/>
      <diagonal/>
    </border>
    <border>
      <left style="thin">
        <color rgb="FF2E4B5D"/>
      </left>
      <right style="thin">
        <color rgb="FF2E4B5D"/>
      </right>
      <top/>
      <bottom style="thin">
        <color indexed="64"/>
      </bottom>
      <diagonal/>
    </border>
    <border>
      <left style="thin">
        <color rgb="FF2E4B5D"/>
      </left>
      <right/>
      <top/>
      <bottom style="thin">
        <color indexed="64"/>
      </bottom>
      <diagonal/>
    </border>
    <border>
      <left/>
      <right style="thin">
        <color rgb="FF2E4B5D"/>
      </right>
      <top/>
      <bottom style="thin">
        <color indexed="64"/>
      </bottom>
      <diagonal/>
    </border>
    <border>
      <left style="thin">
        <color rgb="FF2E4B5D"/>
      </left>
      <right/>
      <top style="thin">
        <color indexed="64"/>
      </top>
      <bottom/>
      <diagonal/>
    </border>
    <border>
      <left/>
      <right style="thin">
        <color rgb="FF2E4B5D"/>
      </right>
      <top style="thin">
        <color indexed="64"/>
      </top>
      <bottom/>
      <diagonal/>
    </border>
    <border>
      <left style="thin">
        <color rgb="FF2E4B5D"/>
      </left>
      <right style="thin">
        <color rgb="FF2E4B5D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/>
    <xf numFmtId="0" fontId="5" fillId="0" borderId="5" xfId="0" applyFont="1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164" fontId="5" fillId="0" borderId="5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2" xfId="0" applyBorder="1"/>
    <xf numFmtId="0" fontId="6" fillId="0" borderId="0" xfId="0" applyFont="1" applyAlignment="1">
      <alignment horizontal="right" vertical="center"/>
    </xf>
    <xf numFmtId="2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4" xfId="0" applyBorder="1" applyAlignment="1">
      <alignment horizontal="center" vertical="center"/>
    </xf>
    <xf numFmtId="2" fontId="0" fillId="0" borderId="2" xfId="0" applyNumberFormat="1" applyBorder="1" applyAlignment="1">
      <alignment horizontal="right" vertical="center"/>
    </xf>
    <xf numFmtId="0" fontId="0" fillId="4" borderId="4" xfId="0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right" vertical="center"/>
    </xf>
    <xf numFmtId="0" fontId="0" fillId="0" borderId="3" xfId="0" applyBorder="1" applyAlignment="1">
      <alignment horizontal="right" vertical="center" wrapText="1" indent="2"/>
    </xf>
    <xf numFmtId="0" fontId="0" fillId="4" borderId="3" xfId="0" applyFill="1" applyBorder="1" applyAlignment="1">
      <alignment horizontal="right" vertical="center" wrapText="1" indent="2"/>
    </xf>
    <xf numFmtId="0" fontId="3" fillId="3" borderId="19" xfId="0" applyFont="1" applyFill="1" applyBorder="1" applyAlignment="1">
      <alignment vertical="top"/>
    </xf>
    <xf numFmtId="0" fontId="3" fillId="3" borderId="20" xfId="0" applyFont="1" applyFill="1" applyBorder="1" applyAlignment="1">
      <alignment vertical="top"/>
    </xf>
    <xf numFmtId="0" fontId="3" fillId="3" borderId="16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5" xfId="0" applyBorder="1"/>
    <xf numFmtId="0" fontId="0" fillId="0" borderId="17" xfId="0" applyBorder="1" applyAlignment="1">
      <alignment vertical="top"/>
    </xf>
    <xf numFmtId="0" fontId="0" fillId="0" borderId="26" xfId="0" applyBorder="1" applyAlignment="1">
      <alignment horizontal="right" vertical="center" wrapText="1" indent="1"/>
    </xf>
    <xf numFmtId="0" fontId="0" fillId="4" borderId="3" xfId="0" applyFill="1" applyBorder="1" applyAlignment="1">
      <alignment horizontal="right" vertical="center" wrapText="1" indent="1"/>
    </xf>
    <xf numFmtId="2" fontId="0" fillId="0" borderId="28" xfId="0" applyNumberFormat="1" applyBorder="1" applyAlignment="1">
      <alignment vertical="center"/>
    </xf>
    <xf numFmtId="2" fontId="0" fillId="0" borderId="4" xfId="0" applyNumberFormat="1" applyBorder="1" applyAlignment="1">
      <alignment vertical="center"/>
    </xf>
    <xf numFmtId="2" fontId="0" fillId="4" borderId="4" xfId="0" applyNumberFormat="1" applyFill="1" applyBorder="1" applyAlignment="1">
      <alignment vertical="center"/>
    </xf>
    <xf numFmtId="2" fontId="0" fillId="0" borderId="4" xfId="0" applyNumberFormat="1" applyBorder="1" applyAlignment="1">
      <alignment horizontal="right" vertical="center"/>
    </xf>
    <xf numFmtId="0" fontId="0" fillId="0" borderId="24" xfId="0" applyBorder="1" applyAlignment="1">
      <alignment horizontal="right" vertical="center" wrapText="1" indent="2"/>
    </xf>
    <xf numFmtId="0" fontId="0" fillId="0" borderId="23" xfId="0" applyBorder="1" applyAlignment="1">
      <alignment horizontal="center" vertical="center"/>
    </xf>
    <xf numFmtId="2" fontId="0" fillId="0" borderId="23" xfId="0" applyNumberFormat="1" applyBorder="1" applyAlignment="1">
      <alignment vertical="center"/>
    </xf>
    <xf numFmtId="2" fontId="0" fillId="0" borderId="25" xfId="0" applyNumberFormat="1" applyBorder="1" applyAlignment="1">
      <alignment horizontal="right" vertical="center"/>
    </xf>
    <xf numFmtId="0" fontId="0" fillId="0" borderId="14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3" fillId="3" borderId="13" xfId="0" applyFont="1" applyFill="1" applyBorder="1" applyAlignment="1">
      <alignment horizontal="right" vertical="top" indent="1"/>
    </xf>
    <xf numFmtId="0" fontId="3" fillId="3" borderId="14" xfId="0" applyFont="1" applyFill="1" applyBorder="1" applyAlignment="1">
      <alignment horizontal="right" vertical="top" indent="1"/>
    </xf>
    <xf numFmtId="0" fontId="3" fillId="3" borderId="15" xfId="0" applyFont="1" applyFill="1" applyBorder="1" applyAlignment="1">
      <alignment horizontal="right" vertical="top" indent="1"/>
    </xf>
    <xf numFmtId="0" fontId="8" fillId="0" borderId="0" xfId="0" applyFont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top"/>
    </xf>
    <xf numFmtId="0" fontId="7" fillId="3" borderId="0" xfId="0" applyFont="1" applyFill="1" applyAlignment="1">
      <alignment horizontal="right" vertical="top" wrapText="1"/>
    </xf>
    <xf numFmtId="0" fontId="7" fillId="3" borderId="17" xfId="0" applyFont="1" applyFill="1" applyBorder="1" applyAlignment="1">
      <alignment horizontal="right" vertical="top" wrapText="1"/>
    </xf>
    <xf numFmtId="0" fontId="7" fillId="3" borderId="20" xfId="0" applyFont="1" applyFill="1" applyBorder="1" applyAlignment="1">
      <alignment horizontal="right" vertical="top" wrapText="1"/>
    </xf>
    <xf numFmtId="0" fontId="7" fillId="3" borderId="2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E4B5D"/>
      <color rgb="FFD8454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47625</xdr:rowOff>
    </xdr:from>
    <xdr:to>
      <xdr:col>2</xdr:col>
      <xdr:colOff>790576</xdr:colOff>
      <xdr:row>2</xdr:row>
      <xdr:rowOff>131490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F9B360-8BA2-C3C5-8D60-E829CD105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47625"/>
          <a:ext cx="2819400" cy="113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BC3D-81E2-45E0-B81A-8D42C3C1706B}">
  <sheetPr>
    <pageSetUpPr fitToPage="1"/>
  </sheetPr>
  <dimension ref="A1:H44"/>
  <sheetViews>
    <sheetView showGridLines="0" tabSelected="1" view="pageBreakPreview" zoomScaleNormal="100" zoomScaleSheetLayoutView="100" workbookViewId="0">
      <selection activeCell="G20" sqref="G20"/>
    </sheetView>
  </sheetViews>
  <sheetFormatPr defaultRowHeight="15" x14ac:dyDescent="0.25"/>
  <cols>
    <col min="1" max="1" width="10.7109375" customWidth="1"/>
    <col min="2" max="2" width="20.28515625" customWidth="1"/>
    <col min="3" max="5" width="12.85546875" customWidth="1"/>
    <col min="6" max="6" width="19" customWidth="1"/>
    <col min="7" max="7" width="18.7109375" customWidth="1"/>
    <col min="8" max="8" width="25.42578125" bestFit="1" customWidth="1"/>
  </cols>
  <sheetData>
    <row r="1" spans="1:8" ht="34.15" customHeight="1" x14ac:dyDescent="0.25">
      <c r="A1" s="55" t="s">
        <v>0</v>
      </c>
      <c r="B1" s="56"/>
      <c r="C1" s="56"/>
      <c r="D1" s="56"/>
      <c r="E1" s="56"/>
      <c r="F1" s="56"/>
      <c r="G1" s="56"/>
      <c r="H1" s="57"/>
    </row>
    <row r="2" spans="1:8" ht="49.15" customHeight="1" x14ac:dyDescent="0.25">
      <c r="A2" s="27"/>
      <c r="B2" s="28"/>
      <c r="C2" s="28"/>
      <c r="D2" s="28"/>
      <c r="E2" s="28"/>
      <c r="F2" s="65" t="s">
        <v>15</v>
      </c>
      <c r="G2" s="65"/>
      <c r="H2" s="66"/>
    </row>
    <row r="3" spans="1:8" ht="13.15" customHeight="1" x14ac:dyDescent="0.25">
      <c r="A3" s="25"/>
      <c r="B3" s="26"/>
      <c r="C3" s="26"/>
      <c r="D3" s="26"/>
      <c r="E3" s="26"/>
      <c r="F3" s="67"/>
      <c r="G3" s="67"/>
      <c r="H3" s="68"/>
    </row>
    <row r="4" spans="1:8" x14ac:dyDescent="0.25">
      <c r="A4" s="8"/>
      <c r="B4" s="58"/>
      <c r="C4" s="58"/>
      <c r="F4" s="14" t="s">
        <v>2</v>
      </c>
      <c r="G4" s="13"/>
      <c r="H4" s="31"/>
    </row>
    <row r="5" spans="1:8" x14ac:dyDescent="0.25">
      <c r="A5" s="8"/>
      <c r="F5" s="14" t="s">
        <v>3</v>
      </c>
      <c r="G5" s="14"/>
      <c r="H5" s="9"/>
    </row>
    <row r="6" spans="1:8" x14ac:dyDescent="0.25">
      <c r="A6" s="8"/>
      <c r="H6" s="9"/>
    </row>
    <row r="7" spans="1:8" x14ac:dyDescent="0.25">
      <c r="A7" s="8"/>
      <c r="H7" s="9"/>
    </row>
    <row r="8" spans="1:8" x14ac:dyDescent="0.25">
      <c r="A8" s="8"/>
      <c r="H8" s="9"/>
    </row>
    <row r="9" spans="1:8" x14ac:dyDescent="0.25">
      <c r="A9" s="8"/>
      <c r="B9" s="62" t="s">
        <v>14</v>
      </c>
      <c r="C9" s="62"/>
      <c r="E9" s="63" t="s">
        <v>4</v>
      </c>
      <c r="F9" s="63"/>
      <c r="G9" s="63"/>
      <c r="H9" s="9"/>
    </row>
    <row r="10" spans="1:8" s="29" customFormat="1" x14ac:dyDescent="0.25">
      <c r="E10" s="64"/>
      <c r="F10" s="64"/>
      <c r="H10" s="32"/>
    </row>
    <row r="11" spans="1:8" s="29" customFormat="1" x14ac:dyDescent="0.25">
      <c r="A11" s="30"/>
      <c r="H11" s="32"/>
    </row>
    <row r="12" spans="1:8" s="29" customFormat="1" x14ac:dyDescent="0.25">
      <c r="A12" s="30"/>
      <c r="H12" s="32"/>
    </row>
    <row r="13" spans="1:8" s="29" customFormat="1" x14ac:dyDescent="0.25">
      <c r="A13" s="30"/>
      <c r="H13" s="32"/>
    </row>
    <row r="14" spans="1:8" s="29" customFormat="1" x14ac:dyDescent="0.25">
      <c r="A14" s="30"/>
      <c r="H14" s="32"/>
    </row>
    <row r="15" spans="1:8" ht="15.75" thickBot="1" x14ac:dyDescent="0.3">
      <c r="A15" s="8"/>
      <c r="B15" s="1"/>
      <c r="C15" s="1"/>
      <c r="D15" s="1"/>
      <c r="E15" s="1"/>
      <c r="F15" s="1"/>
      <c r="G15" s="1"/>
      <c r="H15" s="9"/>
    </row>
    <row r="16" spans="1:8" ht="15.75" thickTop="1" x14ac:dyDescent="0.25">
      <c r="A16" s="8"/>
      <c r="B16" s="4"/>
      <c r="C16" s="4"/>
      <c r="D16" s="4"/>
      <c r="E16" s="4"/>
      <c r="F16" s="4"/>
      <c r="G16" s="4"/>
      <c r="H16" s="9"/>
    </row>
    <row r="17" spans="1:8" x14ac:dyDescent="0.25">
      <c r="A17" s="10"/>
      <c r="B17" s="59" t="s">
        <v>7</v>
      </c>
      <c r="C17" s="60"/>
      <c r="D17" s="61"/>
      <c r="E17" s="5" t="s">
        <v>1</v>
      </c>
      <c r="F17" s="5" t="s">
        <v>6</v>
      </c>
      <c r="G17" s="6" t="s">
        <v>5</v>
      </c>
      <c r="H17" s="15"/>
    </row>
    <row r="18" spans="1:8" x14ac:dyDescent="0.25">
      <c r="A18" s="10"/>
      <c r="B18" s="33"/>
      <c r="C18" s="43"/>
      <c r="D18" s="44"/>
      <c r="E18" s="19"/>
      <c r="F18" s="35"/>
      <c r="G18" s="20" t="str">
        <f>IF(Item1="","",ItemQTY1*Price1)</f>
        <v/>
      </c>
      <c r="H18" s="9"/>
    </row>
    <row r="19" spans="1:8" x14ac:dyDescent="0.25">
      <c r="A19" s="10"/>
      <c r="B19" s="34"/>
      <c r="C19" s="45"/>
      <c r="D19" s="46"/>
      <c r="E19" s="21"/>
      <c r="F19" s="37"/>
      <c r="G19" s="22" t="str">
        <f>IF(Item2="","",Price2)</f>
        <v/>
      </c>
      <c r="H19" s="9"/>
    </row>
    <row r="20" spans="1:8" x14ac:dyDescent="0.25">
      <c r="A20" s="10"/>
      <c r="B20" s="23"/>
      <c r="C20" s="51"/>
      <c r="D20" s="52"/>
      <c r="E20" s="19"/>
      <c r="F20" s="36"/>
      <c r="G20" s="20" t="str">
        <f>IF(Item3="","",Price3)</f>
        <v/>
      </c>
      <c r="H20" s="9"/>
    </row>
    <row r="21" spans="1:8" x14ac:dyDescent="0.25">
      <c r="A21" s="10"/>
      <c r="B21" s="24"/>
      <c r="C21" s="45"/>
      <c r="D21" s="46"/>
      <c r="E21" s="21"/>
      <c r="F21" s="37"/>
      <c r="G21" s="22" t="str">
        <f>IF(Item4="","",Price4)</f>
        <v/>
      </c>
      <c r="H21" s="9"/>
    </row>
    <row r="22" spans="1:8" x14ac:dyDescent="0.25">
      <c r="A22" s="10"/>
      <c r="B22" s="23"/>
      <c r="C22" s="51"/>
      <c r="D22" s="52"/>
      <c r="E22" s="19"/>
      <c r="F22" s="36"/>
      <c r="G22" s="20" t="str">
        <f>IF(Item5="","",Price5)</f>
        <v/>
      </c>
      <c r="H22" s="9"/>
    </row>
    <row r="23" spans="1:8" x14ac:dyDescent="0.25">
      <c r="A23" s="10"/>
      <c r="B23" s="24"/>
      <c r="C23" s="45"/>
      <c r="D23" s="46"/>
      <c r="E23" s="21"/>
      <c r="F23" s="37"/>
      <c r="G23" s="22" t="str">
        <f>IF(Item6="","",Price6)</f>
        <v/>
      </c>
      <c r="H23" s="9"/>
    </row>
    <row r="24" spans="1:8" x14ac:dyDescent="0.25">
      <c r="A24" s="10"/>
      <c r="B24" s="23"/>
      <c r="C24" s="51"/>
      <c r="D24" s="52"/>
      <c r="E24" s="19"/>
      <c r="F24" s="36"/>
      <c r="G24" s="20" t="str">
        <f>IF(Item7="","",Price7)</f>
        <v/>
      </c>
      <c r="H24" s="9"/>
    </row>
    <row r="25" spans="1:8" x14ac:dyDescent="0.25">
      <c r="A25" s="10"/>
      <c r="B25" s="24"/>
      <c r="C25" s="45"/>
      <c r="D25" s="46"/>
      <c r="E25" s="21"/>
      <c r="F25" s="37"/>
      <c r="G25" s="22" t="str">
        <f>IF(Item8="","",Price8)</f>
        <v/>
      </c>
      <c r="H25" s="9"/>
    </row>
    <row r="26" spans="1:8" x14ac:dyDescent="0.25">
      <c r="A26" s="10"/>
      <c r="B26" s="23"/>
      <c r="C26" s="51"/>
      <c r="D26" s="52"/>
      <c r="E26" s="19"/>
      <c r="F26" s="36"/>
      <c r="G26" s="38" t="str">
        <f>IF(Item9="","",Price9)</f>
        <v/>
      </c>
      <c r="H26" s="9"/>
    </row>
    <row r="27" spans="1:8" x14ac:dyDescent="0.25">
      <c r="A27" s="10"/>
      <c r="B27" s="24"/>
      <c r="C27" s="45"/>
      <c r="D27" s="46"/>
      <c r="E27" s="21"/>
      <c r="F27" s="37"/>
      <c r="G27" s="22" t="str">
        <f>IF(Item10="","",Price10)</f>
        <v/>
      </c>
      <c r="H27" s="9"/>
    </row>
    <row r="28" spans="1:8" x14ac:dyDescent="0.25">
      <c r="A28" s="10"/>
      <c r="B28" s="23"/>
      <c r="C28" s="51"/>
      <c r="D28" s="52"/>
      <c r="E28" s="19"/>
      <c r="F28" s="36"/>
      <c r="G28" s="20" t="str">
        <f>IF(Item11="","",Price11)</f>
        <v/>
      </c>
      <c r="H28" s="9"/>
    </row>
    <row r="29" spans="1:8" x14ac:dyDescent="0.25">
      <c r="A29" s="10"/>
      <c r="B29" s="24"/>
      <c r="C29" s="45"/>
      <c r="D29" s="46"/>
      <c r="E29" s="21"/>
      <c r="F29" s="37"/>
      <c r="G29" s="22" t="str">
        <f>IF(Item12="","",Price12)</f>
        <v/>
      </c>
      <c r="H29" s="9"/>
    </row>
    <row r="30" spans="1:8" x14ac:dyDescent="0.25">
      <c r="A30" s="10"/>
      <c r="B30" s="39"/>
      <c r="C30" s="53"/>
      <c r="D30" s="54"/>
      <c r="E30" s="40"/>
      <c r="F30" s="41"/>
      <c r="G30" s="42" t="str">
        <f>IF(Item13="","",Price13)</f>
        <v/>
      </c>
      <c r="H30" s="9"/>
    </row>
    <row r="31" spans="1:8" x14ac:dyDescent="0.25">
      <c r="A31" s="8"/>
      <c r="F31" s="16" t="s">
        <v>8</v>
      </c>
      <c r="G31" s="17">
        <f>SUM(G18:G25)</f>
        <v>0</v>
      </c>
      <c r="H31" s="9"/>
    </row>
    <row r="32" spans="1:8" x14ac:dyDescent="0.25">
      <c r="A32" s="8"/>
      <c r="F32" s="16" t="s">
        <v>9</v>
      </c>
      <c r="G32" s="18">
        <v>0.05</v>
      </c>
      <c r="H32" s="9"/>
    </row>
    <row r="33" spans="1:8" ht="15.75" thickBot="1" x14ac:dyDescent="0.3">
      <c r="A33" s="8"/>
      <c r="F33" s="16" t="s">
        <v>10</v>
      </c>
      <c r="G33" s="17">
        <v>100</v>
      </c>
      <c r="H33" s="9"/>
    </row>
    <row r="34" spans="1:8" ht="15.75" thickTop="1" x14ac:dyDescent="0.25">
      <c r="A34" s="8"/>
      <c r="F34" s="2" t="s">
        <v>11</v>
      </c>
      <c r="G34" s="7" t="str">
        <f>Currency&amp;TEXT(ROUNDUP(Shipping+(G31*(1+Tax)),2),"#.00")</f>
        <v>100.00</v>
      </c>
      <c r="H34" s="9"/>
    </row>
    <row r="35" spans="1:8" x14ac:dyDescent="0.25">
      <c r="A35" s="8"/>
      <c r="H35" s="9"/>
    </row>
    <row r="36" spans="1:8" x14ac:dyDescent="0.25">
      <c r="A36" s="8"/>
      <c r="H36" s="9"/>
    </row>
    <row r="37" spans="1:8" x14ac:dyDescent="0.25">
      <c r="A37" s="8"/>
      <c r="B37" s="50" t="s">
        <v>12</v>
      </c>
      <c r="C37" s="50"/>
      <c r="H37" s="9"/>
    </row>
    <row r="38" spans="1:8" x14ac:dyDescent="0.25">
      <c r="A38" s="8"/>
      <c r="B38" s="47"/>
      <c r="C38" s="47"/>
      <c r="D38" s="47"/>
      <c r="E38" s="47"/>
      <c r="F38" s="47"/>
      <c r="H38" s="9"/>
    </row>
    <row r="39" spans="1:8" x14ac:dyDescent="0.25">
      <c r="A39" s="8"/>
      <c r="B39" s="47"/>
      <c r="C39" s="47"/>
      <c r="D39" s="47"/>
      <c r="E39" s="47"/>
      <c r="F39" s="47"/>
      <c r="H39" s="9"/>
    </row>
    <row r="40" spans="1:8" x14ac:dyDescent="0.25">
      <c r="A40" s="8"/>
      <c r="B40" s="47"/>
      <c r="C40" s="47"/>
      <c r="D40" s="47"/>
      <c r="E40" s="47"/>
      <c r="F40" s="47"/>
      <c r="H40" s="9"/>
    </row>
    <row r="41" spans="1:8" x14ac:dyDescent="0.25">
      <c r="A41" s="8"/>
      <c r="H41" s="9"/>
    </row>
    <row r="42" spans="1:8" ht="15.75" thickBot="1" x14ac:dyDescent="0.3">
      <c r="A42" s="8"/>
      <c r="B42" s="3"/>
      <c r="C42" s="3"/>
      <c r="D42" s="3"/>
      <c r="E42" s="3"/>
      <c r="F42" s="3"/>
      <c r="G42" s="3"/>
      <c r="H42" s="9"/>
    </row>
    <row r="43" spans="1:8" ht="15.75" thickTop="1" x14ac:dyDescent="0.25">
      <c r="A43" s="8"/>
      <c r="B43" s="48" t="s">
        <v>13</v>
      </c>
      <c r="C43" s="48"/>
      <c r="D43" s="48"/>
      <c r="E43" s="48"/>
      <c r="F43" s="48"/>
      <c r="G43" s="48"/>
      <c r="H43" s="9"/>
    </row>
    <row r="44" spans="1:8" x14ac:dyDescent="0.25">
      <c r="A44" s="11"/>
      <c r="B44" s="49"/>
      <c r="C44" s="49"/>
      <c r="D44" s="49"/>
      <c r="E44" s="49"/>
      <c r="F44" s="49"/>
      <c r="G44" s="49"/>
      <c r="H44" s="12"/>
    </row>
  </sheetData>
  <mergeCells count="23">
    <mergeCell ref="A1:H1"/>
    <mergeCell ref="B4:C4"/>
    <mergeCell ref="B17:D17"/>
    <mergeCell ref="B9:C9"/>
    <mergeCell ref="E9:G9"/>
    <mergeCell ref="E10:F10"/>
    <mergeCell ref="F2:H3"/>
    <mergeCell ref="C18:D18"/>
    <mergeCell ref="C19:D19"/>
    <mergeCell ref="B38:F40"/>
    <mergeCell ref="B43:G44"/>
    <mergeCell ref="B37:C37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</mergeCells>
  <pageMargins left="0.7" right="0.7" top="0.75" bottom="0.75" header="0.3" footer="0.3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58</vt:i4>
      </vt:variant>
    </vt:vector>
  </HeadingPairs>
  <TitlesOfParts>
    <vt:vector size="59" baseType="lpstr">
      <vt:lpstr>Sheet1</vt:lpstr>
      <vt:lpstr>Currency</vt:lpstr>
      <vt:lpstr>CustomerEmail</vt:lpstr>
      <vt:lpstr>CustomerName</vt:lpstr>
      <vt:lpstr>Customerphn</vt:lpstr>
      <vt:lpstr>Date</vt:lpstr>
      <vt:lpstr>Dealers</vt:lpstr>
      <vt:lpstr>Description</vt:lpstr>
      <vt:lpstr>Footer</vt:lpstr>
      <vt:lpstr>Item1</vt:lpstr>
      <vt:lpstr>Item10</vt:lpstr>
      <vt:lpstr>Item11</vt:lpstr>
      <vt:lpstr>Item12</vt:lpstr>
      <vt:lpstr>Item13</vt:lpstr>
      <vt:lpstr>Item2</vt:lpstr>
      <vt:lpstr>Item3</vt:lpstr>
      <vt:lpstr>Item4</vt:lpstr>
      <vt:lpstr>Item5</vt:lpstr>
      <vt:lpstr>Item6</vt:lpstr>
      <vt:lpstr>Item7</vt:lpstr>
      <vt:lpstr>Item8</vt:lpstr>
      <vt:lpstr>Item9</vt:lpstr>
      <vt:lpstr>ItemDesc1</vt:lpstr>
      <vt:lpstr>ItemDesc2</vt:lpstr>
      <vt:lpstr>ItemDesc3</vt:lpstr>
      <vt:lpstr>ItemDesc4</vt:lpstr>
      <vt:lpstr>ItemDesc5</vt:lpstr>
      <vt:lpstr>ItemDesc6</vt:lpstr>
      <vt:lpstr>ItemDesc7</vt:lpstr>
      <vt:lpstr>ItemQTY1</vt:lpstr>
      <vt:lpstr>ItemQTY10</vt:lpstr>
      <vt:lpstr>ItemQTY11</vt:lpstr>
      <vt:lpstr>ItemQTY12</vt:lpstr>
      <vt:lpstr>ItemQTY13</vt:lpstr>
      <vt:lpstr>ItemQTY2</vt:lpstr>
      <vt:lpstr>ItemQTY3</vt:lpstr>
      <vt:lpstr>ItemQTY4</vt:lpstr>
      <vt:lpstr>ItemQTY5</vt:lpstr>
      <vt:lpstr>ItemQTY6</vt:lpstr>
      <vt:lpstr>ItemQTY7</vt:lpstr>
      <vt:lpstr>ItemQTY8</vt:lpstr>
      <vt:lpstr>ItemQTY9</vt:lpstr>
      <vt:lpstr>Price1</vt:lpstr>
      <vt:lpstr>Price10</vt:lpstr>
      <vt:lpstr>Price11</vt:lpstr>
      <vt:lpstr>Price12</vt:lpstr>
      <vt:lpstr>Price13</vt:lpstr>
      <vt:lpstr>Price2</vt:lpstr>
      <vt:lpstr>Price3</vt:lpstr>
      <vt:lpstr>Price4</vt:lpstr>
      <vt:lpstr>Price5</vt:lpstr>
      <vt:lpstr>Price6</vt:lpstr>
      <vt:lpstr>Price7</vt:lpstr>
      <vt:lpstr>Price8</vt:lpstr>
      <vt:lpstr>Price9</vt:lpstr>
      <vt:lpstr>QuoteNo</vt:lpstr>
      <vt:lpstr>Shipping</vt:lpstr>
      <vt:lpstr>Tax</vt:lpstr>
      <vt:lpstr>TermsConditions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Ollie Payne</dc:creator>
  <cp:lastModifiedBy>Meghana Mekala</cp:lastModifiedBy>
  <cp:lastPrinted>2020-02-21T09:42:57Z</cp:lastPrinted>
  <dcterms:created xsi:type="dcterms:W3CDTF">2020-02-17T14:08:49Z</dcterms:created>
  <dcterms:modified xsi:type="dcterms:W3CDTF">2026-02-12T11:23:51Z</dcterms:modified>
</cp:coreProperties>
</file>